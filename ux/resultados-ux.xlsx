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reguntas" sheetId="2" state="visible" r:id="rId4"/>
    <sheet name="SUS" sheetId="3" state="visible" r:id="rId5"/>
    <sheet name="Tareas" sheetId="4" state="visible" r:id="rId6"/>
    <sheet name="Resum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<sst xmlns="http://schemas.openxmlformats.org/spreadsheetml/2006/main" count="155" uniqueCount="76">
  <si>
    <t xml:space="preserve">Resultados de la evaluación de UX – WHEELS</t>
  </si>
  <si>
    <t xml:space="preserve">Cómo usar este archivo</t>
  </si>
  <si>
    <t xml:space="preserve">1. Hoja "SUS": escribe las respuestas (1 a 5) de cada participante en las celdas azul claro. El puntaje y la interpretación se calculan solos.</t>
  </si>
  <si>
    <t xml:space="preserve">2. Hoja "Tareas": por cada participante y tarea, elige el resultado en la lista, y escribe el tiempo en segundos, los errores y las observaciones.</t>
  </si>
  <si>
    <t xml:space="preserve">3. Hoja "Resumen": se llena sola con los promedios. Esos datos van a ux/hallazgos.md.</t>
  </si>
  <si>
    <t xml:space="preserve">Las filas grises marcadas "Ejemplo" muestran el formato esperado y NO se cuentan en los promedios. Se pueden dejar o borrar.</t>
  </si>
  <si>
    <t xml:space="preserve">Filas P1 a P3 = primera prueba. Filas V1 y V2 = verificación después de aplicar las mejoras.</t>
  </si>
  <si>
    <t xml:space="preserve">Cálculo del SUS (método estándar de John Brooke, 1986)</t>
  </si>
  <si>
    <t xml:space="preserve">Impares (1,3,5,7,9): respuesta − 1. Pares (2,4,6,8,10): 5 − respuesta. Suma × 2,5 = puntaje de 0 a 100.</t>
  </si>
  <si>
    <t xml:space="preserve">Referencia usada para la interpretación: promedio 68 (Sauro, 2011). ≥ 80,3 Excelente · 68 a 80,2 Bueno · 51 a 67,9 Aceptable · &lt; 51 Deficiente.</t>
  </si>
  <si>
    <t xml:space="preserve">#</t>
  </si>
  <si>
    <t xml:space="preserve">Afirmación del cuestionario SUS</t>
  </si>
  <si>
    <t xml:space="preserve">Tipo</t>
  </si>
  <si>
    <t xml:space="preserve">Creo que me gustaría usar esta aplicación con frecuencia.</t>
  </si>
  <si>
    <t xml:space="preserve">Positiva (respuesta − 1)</t>
  </si>
  <si>
    <t xml:space="preserve">Encontré la aplicación innecesariamente compleja.</t>
  </si>
  <si>
    <t xml:space="preserve">Negativa (5 − respuesta)</t>
  </si>
  <si>
    <t xml:space="preserve">Pensé que la aplicación era fácil de usar.</t>
  </si>
  <si>
    <t xml:space="preserve">Creo que necesitaría el apoyo de una persona experta para poder usar esta aplicación.</t>
  </si>
  <si>
    <t xml:space="preserve">Encontré que las distintas funciones de la aplicación estaban bien integradas.</t>
  </si>
  <si>
    <t xml:space="preserve">Pensé que había demasiada inconsistencia en la aplicación.</t>
  </si>
  <si>
    <t xml:space="preserve">Imagino que la mayoría de las personas aprendería a usar esta aplicación muy rápido.</t>
  </si>
  <si>
    <t xml:space="preserve">Encontré la aplicación muy engorrosa de usar.</t>
  </si>
  <si>
    <t xml:space="preserve">Me sentí muy seguro/a usando la aplicación.</t>
  </si>
  <si>
    <t xml:space="preserve">Necesité aprender muchas cosas antes de poder usar la aplicación.</t>
  </si>
  <si>
    <t xml:space="preserve">Cuestionario SUS por participante</t>
  </si>
  <si>
    <t xml:space="preserve">Escribe en las celdas azul claro la respuesta de 1 a 5 de cada pregunta. Las preguntas completas están en la hoja "Preguntas".</t>
  </si>
  <si>
    <t xml:space="preserve">Participante</t>
  </si>
  <si>
    <t xml:space="preserve">Momento</t>
  </si>
  <si>
    <t xml:space="preserve">Rol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</si>
  <si>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</si>
  <si>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</si>
  <si>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</si>
  <si>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</si>
  <si>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</si>
  <si>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</si>
  <si>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</si>
  <si>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</si>
  <si>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</si>
  <si>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</si>
  <si>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Puntaje SUS</t>
  </si>
  <si>
    <t xml:space="preserve">Interpretación</t>
  </si>
  <si>
    <t xml:space="preserve">Ejemplo</t>
  </si>
  <si>
    <t xml:space="preserve">pasajero</t>
  </si>
  <si>
    <t xml:space="preserve">Primera prueba</t>
  </si>
  <si>
    <t xml:space="preserve">V1</t>
  </si>
  <si>
    <t xml:space="preserve">Verificación</t>
  </si>
  <si>
    <t xml:space="preserve">V2</t>
  </si>
  <si>
    <t xml:space="preserve">Promedio primera prueba (P1–P3)</t>
  </si>
  <si>
    <t xml:space="preserve">Promedio verificación (V1–V2)</t>
  </si>
  <si>
    <t xml:space="preserve">Cambio (verificación − primera prueba)</t>
  </si>
  <si>
    <t xml:space="preserve">Resultados por tarea</t>
  </si>
  <si>
    <t xml:space="preserve">Resultado: elige Éxito, Con ayuda o No logró. Tiempo en segundos. Errores = veces que tocó algo equivocado o se devolvió.</t>
  </si>
  <si>
    <t xml:space="preserve">Tarea</t>
  </si>
  <si>
    <t xml:space="preserve">Resultado</t>
  </si>
  <si>
    <t xml:space="preserve">Tiempo (s)</t>
  </si>
  <si>
    <t xml:space="preserve">Errores</t>
  </si>
  <si>
    <t xml:space="preserve">Observaciones (frases del participante, dónde dudó)</t>
  </si>
  <si>
    <t xml:space="preserve">T2 Buscar viaje y ver tiempo estimado</t>
  </si>
  <si>
    <t xml:space="preserve">Con ayuda</t>
  </si>
  <si>
    <t xml:space="preserve">"¿Y dónde veo cuánto me demoro?" Tardó en encontrar el botón dentro de la tarjeta del viaje.</t>
  </si>
  <si>
    <t xml:space="preserve">T1 Ingresar como pasajero</t>
  </si>
  <si>
    <t xml:space="preserve">T3 Reservar y mostrar el QR</t>
  </si>
  <si>
    <t xml:space="preserve">T4 Registrar contacto</t>
  </si>
  <si>
    <t xml:space="preserve">T5 Enviar alerta (pánico)</t>
  </si>
  <si>
    <t xml:space="preserve">T6 Programar viaje (conductor)</t>
  </si>
  <si>
    <t xml:space="preserve">Resumen de la evaluación</t>
  </si>
  <si>
    <t xml:space="preserve">Se llena solo. Primera prueba = P1 a P3; Verificación = V1 y V2.</t>
  </si>
  <si>
    <t xml:space="preserve">Éxito (primera)</t>
  </si>
  <si>
    <t xml:space="preserve">Tasa de éxito (primera)</t>
  </si>
  <si>
    <t xml:space="preserve">Tiempo prom. (s, primera)</t>
  </si>
  <si>
    <t xml:space="preserve">Errores prom. (primera)</t>
  </si>
  <si>
    <t xml:space="preserve">Tasa de éxito (verificación)</t>
  </si>
  <si>
    <t xml:space="preserve">Tiempo prom. (s, verificación)</t>
  </si>
  <si>
    <t xml:space="preserve">SUS promedio primera prueba</t>
  </si>
  <si>
    <t xml:space="preserve">SUS promedio verificación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</si>
</sst>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57F"/>
      <name val="Arial"/>
      <family val="0"/>
      <charset val="1"/>
    </font>
    <font>
      <b val="true"/>
      <sz val="11"/>
      <color rgb="FF1C257F"/>
      <name val="Arial"/>
      <family val="0"/>
      <charset val="1"/>
    </font>
    <font>
      <sz val="10"/>
      <color rgb="FF0F172A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C257F"/>
      <name val="Arial"/>
      <family val="0"/>
      <charset val="1"/>
    </font>
    <font>
      <b val="true"/>
      <i val="true"/>
      <sz val="10"/>
      <color rgb="FF64748B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10"/>
      <color rgb="FF214BC9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257F"/>
        <bgColor rgb="FF003366"/>
      </patternFill>
    </fill>
    <fill>
      <patternFill patternType="solid">
        <fgColor rgb="FFF1F5F9"/>
        <bgColor rgb="FFE8EEFC"/>
      </patternFill>
    </fill>
    <fill>
      <patternFill patternType="solid">
        <fgColor rgb="FFE8EEFC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E8EEFC"/>
      <rgbColor rgb="FF660066"/>
      <rgbColor rgb="FFFF8080"/>
      <rgbColor rgb="FF214BC9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1C25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5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 t="s">
        <v>4</v>
      </c>
    </row>
    <row r="8" customFormat="false" ht="15" hidden="false" customHeight="true" outlineLevel="0" collapsed="false">
      <c r="A8" s="5" t="s">
        <v>5</v>
      </c>
    </row>
    <row r="9" customFormat="false" ht="15" hidden="false" customHeight="true" outlineLevel="0" collapsed="false">
      <c r="A9" s="5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5"/>
    <col collapsed="false" customWidth="true" hidden="false" outlineLevel="0" max="3" min="3" style="1" width="26"/>
  </cols>
  <sheetData>
    <row r="1" customFormat="false" ht="15" hidden="false" customHeight="true" outlineLevel="0" collapsed="false">
      <c r="A1" s="6" t="s">
        <v>10</v>
      </c>
      <c r="B1" s="6" t="s">
        <v>11</v>
      </c>
      <c r="C1" s="6" t="s">
        <v>12</v>
      </c>
    </row>
    <row r="2" customFormat="false" ht="15" hidden="false" customHeight="true" outlineLevel="0" collapsed="false">
      <c r="A2" s="7" t="n">
        <v>1</v>
      </c>
      <c r="B2" s="7" t="s">
        <v>13</v>
      </c>
      <c r="C2" s="7" t="s">
        <v>14</v>
      </c>
    </row>
    <row r="3" customFormat="false" ht="15" hidden="false" customHeight="true" outlineLevel="0" collapsed="false">
      <c r="A3" s="7" t="n">
        <v>2</v>
      </c>
      <c r="B3" s="7" t="s">
        <v>15</v>
      </c>
      <c r="C3" s="7" t="s">
        <v>16</v>
      </c>
    </row>
    <row r="4" customFormat="false" ht="15" hidden="false" customHeight="true" outlineLevel="0" collapsed="false">
      <c r="A4" s="7" t="n">
        <v>3</v>
      </c>
      <c r="B4" s="7" t="s">
        <v>17</v>
      </c>
      <c r="C4" s="7" t="s">
        <v>14</v>
      </c>
    </row>
    <row r="5" customFormat="false" ht="15" hidden="false" customHeight="true" outlineLevel="0" collapsed="false">
      <c r="A5" s="7" t="n">
        <v>4</v>
      </c>
      <c r="B5" s="7" t="s">
        <v>18</v>
      </c>
      <c r="C5" s="7" t="s">
        <v>16</v>
      </c>
    </row>
    <row r="6" customFormat="false" ht="15" hidden="false" customHeight="true" outlineLevel="0" collapsed="false">
      <c r="A6" s="7" t="n">
        <v>5</v>
      </c>
      <c r="B6" s="7" t="s">
        <v>19</v>
      </c>
      <c r="C6" s="7" t="s">
        <v>14</v>
      </c>
    </row>
    <row r="7" customFormat="false" ht="15" hidden="false" customHeight="true" outlineLevel="0" collapsed="false">
      <c r="A7" s="7" t="n">
        <v>6</v>
      </c>
      <c r="B7" s="7" t="s">
        <v>20</v>
      </c>
      <c r="C7" s="7" t="s">
        <v>16</v>
      </c>
    </row>
    <row r="8" customFormat="false" ht="15" hidden="false" customHeight="true" outlineLevel="0" collapsed="false">
      <c r="A8" s="7" t="n">
        <v>7</v>
      </c>
      <c r="B8" s="7" t="s">
        <v>21</v>
      </c>
      <c r="C8" s="7" t="s">
        <v>14</v>
      </c>
    </row>
    <row r="9" customFormat="false" ht="15" hidden="false" customHeight="true" outlineLevel="0" collapsed="false">
      <c r="A9" s="7" t="n">
        <v>8</v>
      </c>
      <c r="B9" s="7" t="s">
        <v>22</v>
      </c>
      <c r="C9" s="7" t="s">
        <v>16</v>
      </c>
    </row>
    <row r="10" customFormat="false" ht="15" hidden="false" customHeight="true" outlineLevel="0" collapsed="false">
      <c r="A10" s="7" t="n">
        <v>9</v>
      </c>
      <c r="B10" s="7" t="s">
        <v>23</v>
      </c>
      <c r="C10" s="7" t="s">
        <v>14</v>
      </c>
    </row>
    <row r="11" customFormat="false" ht="15" hidden="false" customHeight="true" outlineLevel="0" collapsed="false">
      <c r="A11" s="7" t="n">
        <v>10</v>
      </c>
      <c r="B11" s="7" t="s">
        <v>24</v>
      </c>
      <c r="C11" s="7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13" min="4" style="1" width="6"/>
    <col collapsed="false" customWidth="true" hidden="false" outlineLevel="0" max="14" min="14" style="1" width="13"/>
    <col collapsed="false" customWidth="true" hidden="false" outlineLevel="0" max="15" min="15" style="1" width="14"/>
  </cols>
  <sheetData>
    <row r="1" customFormat="false" ht="15.75" hidden="false" customHeight="true" outlineLevel="0" collapsed="false">
      <c r="A1" s="8" t="s">
        <v>25</v>
      </c>
    </row>
    <row r="2" customFormat="false" ht="15" hidden="false" customHeight="true" outlineLevel="0" collapsed="false">
      <c r="A2" s="5" t="s">
        <v>26</v>
      </c>
    </row>
    <row r="4" customFormat="false" ht="15" hidden="false" customHeight="true" outlineLevel="0" collapsed="false">
      <c r="A4" s="6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40</v>
      </c>
      <c r="O4" s="6" t="s">
        <v>41</v>
      </c>
    </row>
    <row r="5" customFormat="false" ht="15" hidden="false" customHeight="true" outlineLevel="0" collapsed="false">
      <c r="A5" s="9" t="s">
        <v>42</v>
      </c>
      <c r="B5" s="9" t="s">
        <v>42</v>
      </c>
      <c r="C5" s="10" t="s">
        <v>43</v>
      </c>
      <c r="D5" s="10" t="n">
        <v>4</v>
      </c>
      <c r="E5" s="10" t="n">
        <v>2</v>
      </c>
      <c r="F5" s="10" t="n">
        <v>4</v>
      </c>
      <c r="G5" s="10" t="n">
        <v>1</v>
      </c>
      <c r="H5" s="10" t="n">
        <v>4</v>
      </c>
      <c r="I5" s="10" t="n">
        <v>2</v>
      </c>
      <c r="J5" s="10" t="n">
        <v>5</v>
      </c>
      <c r="K5" s="10" t="n">
        <v>1</v>
      </c>
      <c r="L5" s="10" t="n">
        <v>4</v>
      </c>
      <c r="M5" s="10" t="n">
        <v>2</v>
      </c>
      <c r="N5" s="11" t="n">
        <f aca="false">IF(COUNT(D5:M5)&lt;10,"",((D5-1)+(F5-1)+(H5-1)+(J5-1)+(L5-1)+(5-E5)+(5-G5)+(5-I5)+(5-K5)+(5-M5))*2.5)</f>
        <v>82.5</v>
      </c>
      <c r="O5" s="10" t="str">
        <f aca="false">IF(N5="","",IF(N5&gt;=80.3,"Excelente",IF(N5&gt;=68,"Bueno",IF(N5&gt;=51,"Aceptable","Deficiente"))))</f>
        <v>Excelente</v>
      </c>
    </row>
    <row r="6" customFormat="false" ht="15" hidden="false" customHeight="true" outlineLevel="0" collapsed="false">
      <c r="A6" s="12" t="s">
        <v>30</v>
      </c>
      <c r="B6" s="12" t="s">
        <v>44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4" t="str">
        <f aca="false">IF(COUNT(D6:M6)&lt;10,"",((D6-1)+(F6-1)+(H6-1)+(J6-1)+(L6-1)+(5-E6)+(5-G6)+(5-I6)+(5-K6)+(5-M6))*2.5)</f>
        <v/>
      </c>
      <c r="O6" s="15" t="str">
        <f aca="false">IF(N6="","",IF(N6&gt;=80.3,"Excelente",IF(N6&gt;=68,"Bueno",IF(N6&gt;=51,"Aceptable","Deficiente"))))</f>
        <v/>
      </c>
    </row>
    <row r="7" customFormat="false" ht="15" hidden="false" customHeight="true" outlineLevel="0" collapsed="false">
      <c r="A7" s="12" t="s">
        <v>31</v>
      </c>
      <c r="B7" s="12" t="s">
        <v>44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4" t="str">
        <f aca="false">IF(COUNT(D7:M7)&lt;10,"",((D7-1)+(F7-1)+(H7-1)+(J7-1)+(L7-1)+(5-E7)+(5-G7)+(5-I7)+(5-K7)+(5-M7))*2.5)</f>
        <v/>
      </c>
      <c r="O7" s="15" t="str">
        <f aca="false">IF(N7="","",IF(N7&gt;=80.3,"Excelente",IF(N7&gt;=68,"Bueno",IF(N7&gt;=51,"Aceptable","Deficiente"))))</f>
        <v/>
      </c>
    </row>
    <row r="8" customFormat="false" ht="15" hidden="false" customHeight="true" outlineLevel="0" collapsed="false">
      <c r="A8" s="12" t="s">
        <v>32</v>
      </c>
      <c r="B8" s="12" t="s">
        <v>44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4" t="str">
        <f aca="false">IF(COUNT(D8:M8)&lt;10,"",((D8-1)+(F8-1)+(H8-1)+(J8-1)+(L8-1)+(5-E8)+(5-G8)+(5-I8)+(5-K8)+(5-M8))*2.5)</f>
        <v/>
      </c>
      <c r="O8" s="15" t="str">
        <f aca="false">IF(N8="","",IF(N8&gt;=80.3,"Excelente",IF(N8&gt;=68,"Bueno",IF(N8&gt;=51,"Aceptable","Deficiente"))))</f>
        <v/>
      </c>
    </row>
    <row r="9" customFormat="false" ht="15" hidden="false" customHeight="true" outlineLevel="0" collapsed="false">
      <c r="A9" s="12" t="s">
        <v>45</v>
      </c>
      <c r="B9" s="12" t="s">
        <v>46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 t="str">
        <f aca="false">IF(COUNT(D9:M9)&lt;10,"",((D9-1)+(F9-1)+(H9-1)+(J9-1)+(L9-1)+(5-E9)+(5-G9)+(5-I9)+(5-K9)+(5-M9))*2.5)</f>
        <v/>
      </c>
      <c r="O9" s="15" t="str">
        <f aca="false">IF(N9="","",IF(N9&gt;=80.3,"Excelente",IF(N9&gt;=68,"Bueno",IF(N9&gt;=51,"Aceptable","Deficiente"))))</f>
        <v/>
      </c>
    </row>
    <row r="10" customFormat="false" ht="15" hidden="false" customHeight="true" outlineLevel="0" collapsed="false">
      <c r="A10" s="12" t="s">
        <v>47</v>
      </c>
      <c r="B10" s="12" t="s">
        <v>46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4" t="str">
        <f aca="false">IF(COUNT(D10:M10)&lt;10,"",((D10-1)+(F10-1)+(H10-1)+(J10-1)+(L10-1)+(5-E10)+(5-G10)+(5-I10)+(5-K10)+(5-M10))*2.5)</f>
        <v/>
      </c>
      <c r="O10" s="15" t="str">
        <f aca="false">IF(N10="","",IF(N10&gt;=80.3,"Excelente",IF(N10&gt;=68,"Bueno",IF(N10&gt;=51,"Aceptable","Deficiente"))))</f>
        <v/>
      </c>
    </row>
    <row r="12" customFormat="false" ht="15" hidden="false" customHeight="true" outlineLevel="0" collapsed="false">
      <c r="A12" s="16" t="s">
        <v>48</v>
      </c>
      <c r="N12" s="17" t="str">
        <f aca="false">IFERROR(AVERAGE(N6:N8),"")</f>
        <v/>
      </c>
    </row>
    <row r="13" customFormat="false" ht="15" hidden="false" customHeight="true" outlineLevel="0" collapsed="false">
      <c r="A13" s="16" t="s">
        <v>49</v>
      </c>
      <c r="N13" s="17" t="str">
        <f aca="false">IFERROR(AVERAGE(N9:N10),"")</f>
        <v/>
      </c>
    </row>
    <row r="14" customFormat="false" ht="15" hidden="false" customHeight="true" outlineLevel="0" collapsed="false">
      <c r="A14" s="16" t="s">
        <v>50</v>
      </c>
      <c r="N14" s="17" t="str">
        <f aca="false">IF(OR(N12="",N13=""),"",N13-N12)</f>
        <v/>
      </c>
    </row>
  </sheetData>
  <dataValidations count="2">
    <dataValidation allowBlank="false" error="Escribe un número entero entre 1 y 5." errorStyle="stop" errorTitle="Valor no válido" operator="between" showDropDown="false" showErrorMessage="true" showInputMessage="false" sqref="D6:M10" type="whole">
      <formula1>1</formula1>
      <formula2>5</formula2>
    </dataValidation>
    <dataValidation allowBlank="true" errorStyle="stop" operator="between" showDropDown="false" showErrorMessage="false" showInputMessage="false" sqref="C6:C10" type="list">
      <formula1>"pasajero,conductor"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70"/>
  </cols>
  <sheetData>
    <row r="1" customFormat="false" ht="15.75" hidden="false" customHeight="true" outlineLevel="0" collapsed="false">
      <c r="A1" s="8" t="s">
        <v>51</v>
      </c>
    </row>
    <row r="2" customFormat="false" ht="15" hidden="false" customHeight="true" outlineLevel="0" collapsed="false">
      <c r="A2" s="5" t="s">
        <v>52</v>
      </c>
    </row>
    <row r="4" customFormat="false" ht="15" hidden="false" customHeight="true" outlineLevel="0" collapsed="false">
      <c r="A4" s="6" t="s">
        <v>27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</row>
    <row r="5" customFormat="false" ht="15" hidden="false" customHeight="true" outlineLevel="0" collapsed="false">
      <c r="A5" s="18" t="s">
        <v>42</v>
      </c>
      <c r="B5" s="18" t="s">
        <v>58</v>
      </c>
      <c r="C5" s="18" t="s">
        <v>59</v>
      </c>
      <c r="D5" s="18" t="n">
        <v>48</v>
      </c>
      <c r="E5" s="18" t="n">
        <v>2</v>
      </c>
      <c r="F5" s="19" t="s">
        <v>60</v>
      </c>
    </row>
    <row r="6" customFormat="false" ht="15" hidden="false" customHeight="true" outlineLevel="0" collapsed="false">
      <c r="A6" s="20" t="s">
        <v>30</v>
      </c>
      <c r="B6" s="20" t="s">
        <v>61</v>
      </c>
      <c r="C6" s="21"/>
      <c r="D6" s="21"/>
      <c r="E6" s="21"/>
      <c r="F6" s="22"/>
    </row>
    <row r="7" customFormat="false" ht="15" hidden="false" customHeight="true" outlineLevel="0" collapsed="false">
      <c r="A7" s="20" t="s">
        <v>30</v>
      </c>
      <c r="B7" s="20" t="s">
        <v>58</v>
      </c>
      <c r="C7" s="21"/>
      <c r="D7" s="21"/>
      <c r="E7" s="21"/>
      <c r="F7" s="22"/>
    </row>
    <row r="8" customFormat="false" ht="15" hidden="false" customHeight="true" outlineLevel="0" collapsed="false">
      <c r="A8" s="20" t="s">
        <v>30</v>
      </c>
      <c r="B8" s="20" t="s">
        <v>62</v>
      </c>
      <c r="C8" s="21"/>
      <c r="D8" s="21"/>
      <c r="E8" s="21"/>
      <c r="F8" s="22"/>
    </row>
    <row r="9" customFormat="false" ht="15" hidden="false" customHeight="true" outlineLevel="0" collapsed="false">
      <c r="A9" s="20" t="s">
        <v>30</v>
      </c>
      <c r="B9" s="20" t="s">
        <v>63</v>
      </c>
      <c r="C9" s="21"/>
      <c r="D9" s="21"/>
      <c r="E9" s="21"/>
      <c r="F9" s="22"/>
    </row>
    <row r="10" customFormat="false" ht="15" hidden="false" customHeight="true" outlineLevel="0" collapsed="false">
      <c r="A10" s="20" t="s">
        <v>30</v>
      </c>
      <c r="B10" s="20" t="s">
        <v>64</v>
      </c>
      <c r="C10" s="21"/>
      <c r="D10" s="21"/>
      <c r="E10" s="21"/>
      <c r="F10" s="22"/>
    </row>
    <row r="11" customFormat="false" ht="15" hidden="false" customHeight="true" outlineLevel="0" collapsed="false">
      <c r="A11" s="20" t="s">
        <v>30</v>
      </c>
      <c r="B11" s="20" t="s">
        <v>65</v>
      </c>
      <c r="C11" s="21"/>
      <c r="D11" s="21"/>
      <c r="E11" s="21"/>
      <c r="F11" s="22"/>
    </row>
    <row r="12" customFormat="false" ht="15" hidden="false" customHeight="true" outlineLevel="0" collapsed="false">
      <c r="A12" s="20" t="s">
        <v>31</v>
      </c>
      <c r="B12" s="20" t="s">
        <v>61</v>
      </c>
      <c r="C12" s="21"/>
      <c r="D12" s="21"/>
      <c r="E12" s="21"/>
      <c r="F12" s="22"/>
    </row>
    <row r="13" customFormat="false" ht="15" hidden="false" customHeight="true" outlineLevel="0" collapsed="false">
      <c r="A13" s="20" t="s">
        <v>31</v>
      </c>
      <c r="B13" s="20" t="s">
        <v>58</v>
      </c>
      <c r="C13" s="21"/>
      <c r="D13" s="21"/>
      <c r="E13" s="21"/>
      <c r="F13" s="22"/>
    </row>
    <row r="14" customFormat="false" ht="15" hidden="false" customHeight="true" outlineLevel="0" collapsed="false">
      <c r="A14" s="20" t="s">
        <v>31</v>
      </c>
      <c r="B14" s="20" t="s">
        <v>62</v>
      </c>
      <c r="C14" s="21"/>
      <c r="D14" s="21"/>
      <c r="E14" s="21"/>
      <c r="F14" s="22"/>
    </row>
    <row r="15" customFormat="false" ht="15" hidden="false" customHeight="true" outlineLevel="0" collapsed="false">
      <c r="A15" s="20" t="s">
        <v>31</v>
      </c>
      <c r="B15" s="20" t="s">
        <v>63</v>
      </c>
      <c r="C15" s="21"/>
      <c r="D15" s="21"/>
      <c r="E15" s="21"/>
      <c r="F15" s="22"/>
    </row>
    <row r="16" customFormat="false" ht="15" hidden="false" customHeight="true" outlineLevel="0" collapsed="false">
      <c r="A16" s="20" t="s">
        <v>31</v>
      </c>
      <c r="B16" s="20" t="s">
        <v>64</v>
      </c>
      <c r="C16" s="21"/>
      <c r="D16" s="21"/>
      <c r="E16" s="21"/>
      <c r="F16" s="22"/>
    </row>
    <row r="17" customFormat="false" ht="15" hidden="false" customHeight="true" outlineLevel="0" collapsed="false">
      <c r="A17" s="20" t="s">
        <v>31</v>
      </c>
      <c r="B17" s="20" t="s">
        <v>65</v>
      </c>
      <c r="C17" s="21"/>
      <c r="D17" s="21"/>
      <c r="E17" s="21"/>
      <c r="F17" s="22"/>
    </row>
    <row r="18" customFormat="false" ht="15" hidden="false" customHeight="true" outlineLevel="0" collapsed="false">
      <c r="A18" s="20" t="s">
        <v>32</v>
      </c>
      <c r="B18" s="20" t="s">
        <v>61</v>
      </c>
      <c r="C18" s="21"/>
      <c r="D18" s="21"/>
      <c r="E18" s="21"/>
      <c r="F18" s="22"/>
    </row>
    <row r="19" customFormat="false" ht="15" hidden="false" customHeight="true" outlineLevel="0" collapsed="false">
      <c r="A19" s="20" t="s">
        <v>32</v>
      </c>
      <c r="B19" s="20" t="s">
        <v>58</v>
      </c>
      <c r="C19" s="21"/>
      <c r="D19" s="21"/>
      <c r="E19" s="21"/>
      <c r="F19" s="22"/>
    </row>
    <row r="20" customFormat="false" ht="15" hidden="false" customHeight="true" outlineLevel="0" collapsed="false">
      <c r="A20" s="20" t="s">
        <v>32</v>
      </c>
      <c r="B20" s="20" t="s">
        <v>62</v>
      </c>
      <c r="C20" s="21"/>
      <c r="D20" s="21"/>
      <c r="E20" s="21"/>
      <c r="F20" s="22"/>
    </row>
    <row r="21" customFormat="false" ht="15" hidden="false" customHeight="true" outlineLevel="0" collapsed="false">
      <c r="A21" s="20" t="s">
        <v>32</v>
      </c>
      <c r="B21" s="20" t="s">
        <v>63</v>
      </c>
      <c r="C21" s="21"/>
      <c r="D21" s="21"/>
      <c r="E21" s="21"/>
      <c r="F21" s="22"/>
    </row>
    <row r="22" customFormat="false" ht="15" hidden="false" customHeight="true" outlineLevel="0" collapsed="false">
      <c r="A22" s="20" t="s">
        <v>32</v>
      </c>
      <c r="B22" s="20" t="s">
        <v>64</v>
      </c>
      <c r="C22" s="21"/>
      <c r="D22" s="21"/>
      <c r="E22" s="21"/>
      <c r="F22" s="22"/>
    </row>
    <row r="23" customFormat="false" ht="15" hidden="false" customHeight="true" outlineLevel="0" collapsed="false">
      <c r="A23" s="20" t="s">
        <v>32</v>
      </c>
      <c r="B23" s="20" t="s">
        <v>65</v>
      </c>
      <c r="C23" s="21"/>
      <c r="D23" s="21"/>
      <c r="E23" s="21"/>
      <c r="F23" s="22"/>
    </row>
    <row r="24" customFormat="false" ht="15" hidden="false" customHeight="true" outlineLevel="0" collapsed="false">
      <c r="A24" s="20" t="s">
        <v>45</v>
      </c>
      <c r="B24" s="20" t="s">
        <v>61</v>
      </c>
      <c r="C24" s="21"/>
      <c r="D24" s="21"/>
      <c r="E24" s="21"/>
      <c r="F24" s="22"/>
    </row>
    <row r="25" customFormat="false" ht="15" hidden="false" customHeight="true" outlineLevel="0" collapsed="false">
      <c r="A25" s="20" t="s">
        <v>45</v>
      </c>
      <c r="B25" s="20" t="s">
        <v>58</v>
      </c>
      <c r="C25" s="21"/>
      <c r="D25" s="21"/>
      <c r="E25" s="21"/>
      <c r="F25" s="22"/>
    </row>
    <row r="26" customFormat="false" ht="15" hidden="false" customHeight="true" outlineLevel="0" collapsed="false">
      <c r="A26" s="20" t="s">
        <v>45</v>
      </c>
      <c r="B26" s="20" t="s">
        <v>62</v>
      </c>
      <c r="C26" s="21"/>
      <c r="D26" s="21"/>
      <c r="E26" s="21"/>
      <c r="F26" s="22"/>
    </row>
    <row r="27" customFormat="false" ht="15" hidden="false" customHeight="true" outlineLevel="0" collapsed="false">
      <c r="A27" s="20" t="s">
        <v>45</v>
      </c>
      <c r="B27" s="20" t="s">
        <v>63</v>
      </c>
      <c r="C27" s="21"/>
      <c r="D27" s="21"/>
      <c r="E27" s="21"/>
      <c r="F27" s="22"/>
    </row>
    <row r="28" customFormat="false" ht="15" hidden="false" customHeight="true" outlineLevel="0" collapsed="false">
      <c r="A28" s="20" t="s">
        <v>45</v>
      </c>
      <c r="B28" s="20" t="s">
        <v>64</v>
      </c>
      <c r="C28" s="21"/>
      <c r="D28" s="21"/>
      <c r="E28" s="21"/>
      <c r="F28" s="22"/>
    </row>
    <row r="29" customFormat="false" ht="15" hidden="false" customHeight="true" outlineLevel="0" collapsed="false">
      <c r="A29" s="20" t="s">
        <v>45</v>
      </c>
      <c r="B29" s="20" t="s">
        <v>65</v>
      </c>
      <c r="C29" s="21"/>
      <c r="D29" s="21"/>
      <c r="E29" s="21"/>
      <c r="F29" s="22"/>
    </row>
    <row r="30" customFormat="false" ht="15" hidden="false" customHeight="true" outlineLevel="0" collapsed="false">
      <c r="A30" s="20" t="s">
        <v>47</v>
      </c>
      <c r="B30" s="20" t="s">
        <v>61</v>
      </c>
      <c r="C30" s="21"/>
      <c r="D30" s="21"/>
      <c r="E30" s="21"/>
      <c r="F30" s="22"/>
    </row>
    <row r="31" customFormat="false" ht="15" hidden="false" customHeight="true" outlineLevel="0" collapsed="false">
      <c r="A31" s="20" t="s">
        <v>47</v>
      </c>
      <c r="B31" s="20" t="s">
        <v>58</v>
      </c>
      <c r="C31" s="21"/>
      <c r="D31" s="21"/>
      <c r="E31" s="21"/>
      <c r="F31" s="22"/>
    </row>
    <row r="32" customFormat="false" ht="15" hidden="false" customHeight="true" outlineLevel="0" collapsed="false">
      <c r="A32" s="20" t="s">
        <v>47</v>
      </c>
      <c r="B32" s="20" t="s">
        <v>62</v>
      </c>
      <c r="C32" s="21"/>
      <c r="D32" s="21"/>
      <c r="E32" s="21"/>
      <c r="F32" s="22"/>
    </row>
    <row r="33" customFormat="false" ht="15" hidden="false" customHeight="true" outlineLevel="0" collapsed="false">
      <c r="A33" s="20" t="s">
        <v>47</v>
      </c>
      <c r="B33" s="20" t="s">
        <v>63</v>
      </c>
      <c r="C33" s="21"/>
      <c r="D33" s="21"/>
      <c r="E33" s="21"/>
      <c r="F33" s="22"/>
    </row>
    <row r="34" customFormat="false" ht="15" hidden="false" customHeight="true" outlineLevel="0" collapsed="false">
      <c r="A34" s="20" t="s">
        <v>47</v>
      </c>
      <c r="B34" s="20" t="s">
        <v>64</v>
      </c>
      <c r="C34" s="21"/>
      <c r="D34" s="21"/>
      <c r="E34" s="21"/>
      <c r="F34" s="22"/>
    </row>
    <row r="35" customFormat="false" ht="15" hidden="false" customHeight="true" outlineLevel="0" collapsed="false">
      <c r="A35" s="20" t="s">
        <v>47</v>
      </c>
      <c r="B35" s="20" t="s">
        <v>65</v>
      </c>
      <c r="C35" s="21"/>
      <c r="D35" s="21"/>
      <c r="E35" s="21"/>
      <c r="F35" s="22"/>
    </row>
  </sheetData>
  <dataValidations count="2">
    <dataValidation allowBlank="true" errorStyle="stop" operator="between" showDropDown="false" showErrorMessage="false" showInputMessage="false" sqref="C6:C35" type="list">
      <formula1>"Éxito,Con ayuda,No logró"</formula1>
      <formula2>0</formula2>
    </dataValidation>
    <dataValidation allowBlank="true" errorStyle="stop" operator="greaterThanOrEqual" showDropDown="false" showErrorMessage="false" showInputMessage="false" sqref="D6:E3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7"/>
  </cols>
  <sheetData>
    <row r="1" customFormat="false" ht="15.75" hidden="false" customHeight="true" outlineLevel="0" collapsed="false">
      <c r="A1" s="8" t="s">
        <v>66</v>
      </c>
    </row>
    <row r="2" customFormat="false" ht="15" hidden="false" customHeight="true" outlineLevel="0" collapsed="false">
      <c r="A2" s="5" t="s">
        <v>67</v>
      </c>
    </row>
    <row r="4" customFormat="false" ht="23.25" hidden="false" customHeight="true" outlineLevel="0" collapsed="false">
      <c r="A4" s="6" t="s">
        <v>53</v>
      </c>
      <c r="B4" s="6" t="s">
        <v>68</v>
      </c>
      <c r="C4" s="6" t="s">
        <v>69</v>
      </c>
      <c r="D4" s="6" t="s">
        <v>70</v>
      </c>
      <c r="E4" s="6" t="s">
        <v>71</v>
      </c>
      <c r="F4" s="6" t="s">
        <v>72</v>
      </c>
      <c r="G4" s="6" t="s">
        <v>73</v>
      </c>
    </row>
    <row r="5" customFormat="false" ht="15" hidden="false" customHeight="true" outlineLevel="0" collapsed="false">
      <c r="A5" s="12" t="s">
        <v>61</v>
      </c>
      <c r="B5" s="15" t="n">
        <f aca="false">COUNTIFS(Tareas!$A$6:$A$35,"P1",Tareas!$B$6:$B$35,$A5,Tareas!$C$6:$C$35,"Éxito")+COUNTIFS(Tareas!$A$6:$A$35,"P2",Tareas!$B$6:$B$35,$A5,Tareas!$C$6:$C$35,"Éxito")+COUNTIFS(Tareas!$A$6:$A$35,"P3",Tareas!$B$6:$B$35,$A5,Tareas!$C$6:$C$35,"Éxito")</f>
        <v>0</v>
      </c>
      <c r="C5" s="23" t="str">
        <f aca="false">IFERROR(B5/(COUNTIFS(Tareas!$A$6:$A$35,"P1",Tareas!$B$6:$B$35,$A5,Tareas!$C$6:$C$35,"&lt;&gt;")+COUNTIFS(Tareas!$A$6:$A$35,"P2",Tareas!$B$6:$B$35,$A5,Tareas!$C$6:$C$35,"&lt;&gt;")+COUNTIFS(Tareas!$A$6:$A$35,"P3",Tareas!$B$6:$B$35,$A5,Tareas!$C$6:$C$35,"&lt;&gt;")),"")</f>
        <v/>
      </c>
      <c r="D5" s="24" t="str">
        <f aca="false">IFERROR((SUMIFS(Tareas!$D$6:$D$35,Tareas!$A$6:$A$35,"P1",Tareas!$B$6:$B$35,$A5)+SUMIFS(Tareas!$D$6:$D$35,Tareas!$A$6:$A$35,"P2",Tareas!$B$6:$B$35,$A5)+SUMIFS(Tareas!$D$6:$D$35,Tareas!$A$6:$A$35,"P3",Tareas!$B$6:$B$35,$A5))/(COUNTIFS(Tareas!$A$6:$A$35,"P1",Tareas!$B$6:$B$35,$A5,Tareas!$D$6:$D$35,"&lt;&gt;")+COUNTIFS(Tareas!$A$6:$A$35,"P2",Tareas!$B$6:$B$35,$A5,Tareas!$D$6:$D$35,"&lt;&gt;")+COUNTIFS(Tareas!$A$6:$A$35,"P3",Tareas!$B$6:$B$35,$A5,Tareas!$D$6:$D$35,"&lt;&gt;")),"")</f>
        <v/>
      </c>
      <c r="E5" s="24" t="str">
        <f aca="false">IFERROR((SUMIFS(Tareas!$E$6:$E$35,Tareas!$A$6:$A$35,"P1",Tareas!$B$6:$B$35,$A5)+SUMIFS(Tareas!$E$6:$E$35,Tareas!$A$6:$A$35,"P2",Tareas!$B$6:$B$35,$A5)+SUMIFS(Tareas!$E$6:$E$35,Tareas!$A$6:$A$35,"P3",Tareas!$B$6:$B$35,$A5))/(COUNTIFS(Tareas!$A$6:$A$35,"P1",Tareas!$B$6:$B$35,$A5,Tareas!$E$6:$E$35,"&lt;&gt;")+COUNTIFS(Tareas!$A$6:$A$35,"P2",Tareas!$B$6:$B$35,$A5,Tareas!$E$6:$E$35,"&lt;&gt;")+COUNTIFS(Tareas!$A$6:$A$35,"P3",Tareas!$B$6:$B$35,$A5,Tareas!$E$6:$E$35,"&lt;&gt;")),"")</f>
        <v/>
      </c>
      <c r="F5" s="23" t="str">
        <f aca="false">IFERROR((COUNTIFS(Tareas!$A$6:$A$35,"V1",Tareas!$B$6:$B$35,$A5,Tareas!$C$6:$C$35,"Éxito")+COUNTIFS(Tareas!$A$6:$A$35,"V2",Tareas!$B$6:$B$35,$A5,Tareas!$C$6:$C$35,"Éxito"))/(COUNTIFS(Tareas!$A$6:$A$35,"V1",Tareas!$B$6:$B$35,$A5,Tareas!$C$6:$C$35,"&lt;&gt;")+COUNTIFS(Tareas!$A$6:$A$35,"V2",Tareas!$B$6:$B$35,$A5,Tareas!$C$6:$C$35,"&lt;&gt;")),"")</f>
        <v/>
      </c>
      <c r="G5" s="24" t="str">
        <f aca="false">IFERROR((SUMIFS(Tareas!$D$6:$D$35,Tareas!$A$6:$A$35,"V1",Tareas!$B$6:$B$35,$A5)+SUMIFS(Tareas!$D$6:$D$35,Tareas!$A$6:$A$35,"V2",Tareas!$B$6:$B$35,$A5))/(COUNTIFS(Tareas!$A$6:$A$35,"V1",Tareas!$B$6:$B$35,$A5,Tareas!$D$6:$D$35,"&lt;&gt;")+COUNTIFS(Tareas!$A$6:$A$35,"V2",Tareas!$B$6:$B$35,$A5,Tareas!$D$6:$D$35,"&lt;&gt;")),"")</f>
        <v/>
      </c>
    </row>
    <row r="6" customFormat="false" ht="15" hidden="false" customHeight="true" outlineLevel="0" collapsed="false">
      <c r="A6" s="12" t="s">
        <v>58</v>
      </c>
      <c r="B6" s="15" t="n">
        <f aca="false">COUNTIFS(Tareas!$A$6:$A$35,"P1",Tareas!$B$6:$B$35,$A6,Tareas!$C$6:$C$35,"Éxito")+COUNTIFS(Tareas!$A$6:$A$35,"P2",Tareas!$B$6:$B$35,$A6,Tareas!$C$6:$C$35,"Éxito")+COUNTIFS(Tareas!$A$6:$A$35,"P3",Tareas!$B$6:$B$35,$A6,Tareas!$C$6:$C$35,"Éxito")</f>
        <v>0</v>
      </c>
      <c r="C6" s="23" t="str">
        <f aca="false">IFERROR(B6/(COUNTIFS(Tareas!$A$6:$A$35,"P1",Tareas!$B$6:$B$35,$A6,Tareas!$C$6:$C$35,"&lt;&gt;")+COUNTIFS(Tareas!$A$6:$A$35,"P2",Tareas!$B$6:$B$35,$A6,Tareas!$C$6:$C$35,"&lt;&gt;")+COUNTIFS(Tareas!$A$6:$A$35,"P3",Tareas!$B$6:$B$35,$A6,Tareas!$C$6:$C$35,"&lt;&gt;")),"")</f>
        <v/>
      </c>
      <c r="D6" s="24" t="str">
        <f aca="false">IFERROR((SUMIFS(Tareas!$D$6:$D$35,Tareas!$A$6:$A$35,"P1",Tareas!$B$6:$B$35,$A6)+SUMIFS(Tareas!$D$6:$D$35,Tareas!$A$6:$A$35,"P2",Tareas!$B$6:$B$35,$A6)+SUMIFS(Tareas!$D$6:$D$35,Tareas!$A$6:$A$35,"P3",Tareas!$B$6:$B$35,$A6))/(COUNTIFS(Tareas!$A$6:$A$35,"P1",Tareas!$B$6:$B$35,$A6,Tareas!$D$6:$D$35,"&lt;&gt;")+COUNTIFS(Tareas!$A$6:$A$35,"P2",Tareas!$B$6:$B$35,$A6,Tareas!$D$6:$D$35,"&lt;&gt;")+COUNTIFS(Tareas!$A$6:$A$35,"P3",Tareas!$B$6:$B$35,$A6,Tareas!$D$6:$D$35,"&lt;&gt;")),"")</f>
        <v/>
      </c>
      <c r="E6" s="24" t="str">
        <f aca="false">IFERROR((SUMIFS(Tareas!$E$6:$E$35,Tareas!$A$6:$A$35,"P1",Tareas!$B$6:$B$35,$A6)+SUMIFS(Tareas!$E$6:$E$35,Tareas!$A$6:$A$35,"P2",Tareas!$B$6:$B$35,$A6)+SUMIFS(Tareas!$E$6:$E$35,Tareas!$A$6:$A$35,"P3",Tareas!$B$6:$B$35,$A6))/(COUNTIFS(Tareas!$A$6:$A$35,"P1",Tareas!$B$6:$B$35,$A6,Tareas!$E$6:$E$35,"&lt;&gt;")+COUNTIFS(Tareas!$A$6:$A$35,"P2",Tareas!$B$6:$B$35,$A6,Tareas!$E$6:$E$35,"&lt;&gt;")+COUNTIFS(Tareas!$A$6:$A$35,"P3",Tareas!$B$6:$B$35,$A6,Tareas!$E$6:$E$35,"&lt;&gt;")),"")</f>
        <v/>
      </c>
      <c r="F6" s="23" t="str">
        <f aca="false">IFERROR((COUNTIFS(Tareas!$A$6:$A$35,"V1",Tareas!$B$6:$B$35,$A6,Tareas!$C$6:$C$35,"Éxito")+COUNTIFS(Tareas!$A$6:$A$35,"V2",Tareas!$B$6:$B$35,$A6,Tareas!$C$6:$C$35,"Éxito"))/(COUNTIFS(Tareas!$A$6:$A$35,"V1",Tareas!$B$6:$B$35,$A6,Tareas!$C$6:$C$35,"&lt;&gt;")+COUNTIFS(Tareas!$A$6:$A$35,"V2",Tareas!$B$6:$B$35,$A6,Tareas!$C$6:$C$35,"&lt;&gt;")),"")</f>
        <v/>
      </c>
      <c r="G6" s="24" t="str">
        <f aca="false">IFERROR((SUMIFS(Tareas!$D$6:$D$35,Tareas!$A$6:$A$35,"V1",Tareas!$B$6:$B$35,$A6)+SUMIFS(Tareas!$D$6:$D$35,Tareas!$A$6:$A$35,"V2",Tareas!$B$6:$B$35,$A6))/(COUNTIFS(Tareas!$A$6:$A$35,"V1",Tareas!$B$6:$B$35,$A6,Tareas!$D$6:$D$35,"&lt;&gt;")+COUNTIFS(Tareas!$A$6:$A$35,"V2",Tareas!$B$6:$B$35,$A6,Tareas!$D$6:$D$35,"&lt;&gt;")),"")</f>
        <v/>
      </c>
    </row>
    <row r="7" customFormat="false" ht="15" hidden="false" customHeight="true" outlineLevel="0" collapsed="false">
      <c r="A7" s="12" t="s">
        <v>62</v>
      </c>
      <c r="B7" s="15" t="n">
        <f aca="false">COUNTIFS(Tareas!$A$6:$A$35,"P1",Tareas!$B$6:$B$35,$A7,Tareas!$C$6:$C$35,"Éxito")+COUNTIFS(Tareas!$A$6:$A$35,"P2",Tareas!$B$6:$B$35,$A7,Tareas!$C$6:$C$35,"Éxito")+COUNTIFS(Tareas!$A$6:$A$35,"P3",Tareas!$B$6:$B$35,$A7,Tareas!$C$6:$C$35,"Éxito")</f>
        <v>0</v>
      </c>
      <c r="C7" s="23" t="str">
        <f aca="false">IFERROR(B7/(COUNTIFS(Tareas!$A$6:$A$35,"P1",Tareas!$B$6:$B$35,$A7,Tareas!$C$6:$C$35,"&lt;&gt;")+COUNTIFS(Tareas!$A$6:$A$35,"P2",Tareas!$B$6:$B$35,$A7,Tareas!$C$6:$C$35,"&lt;&gt;")+COUNTIFS(Tareas!$A$6:$A$35,"P3",Tareas!$B$6:$B$35,$A7,Tareas!$C$6:$C$35,"&lt;&gt;")),"")</f>
        <v/>
      </c>
      <c r="D7" s="24" t="str">
        <f aca="false">IFERROR((SUMIFS(Tareas!$D$6:$D$35,Tareas!$A$6:$A$35,"P1",Tareas!$B$6:$B$35,$A7)+SUMIFS(Tareas!$D$6:$D$35,Tareas!$A$6:$A$35,"P2",Tareas!$B$6:$B$35,$A7)+SUMIFS(Tareas!$D$6:$D$35,Tareas!$A$6:$A$35,"P3",Tareas!$B$6:$B$35,$A7))/(COUNTIFS(Tareas!$A$6:$A$35,"P1",Tareas!$B$6:$B$35,$A7,Tareas!$D$6:$D$35,"&lt;&gt;")+COUNTIFS(Tareas!$A$6:$A$35,"P2",Tareas!$B$6:$B$35,$A7,Tareas!$D$6:$D$35,"&lt;&gt;")+COUNTIFS(Tareas!$A$6:$A$35,"P3",Tareas!$B$6:$B$35,$A7,Tareas!$D$6:$D$35,"&lt;&gt;")),"")</f>
        <v/>
      </c>
      <c r="E7" s="24" t="str">
        <f aca="false">IFERROR((SUMIFS(Tareas!$E$6:$E$35,Tareas!$A$6:$A$35,"P1",Tareas!$B$6:$B$35,$A7)+SUMIFS(Tareas!$E$6:$E$35,Tareas!$A$6:$A$35,"P2",Tareas!$B$6:$B$35,$A7)+SUMIFS(Tareas!$E$6:$E$35,Tareas!$A$6:$A$35,"P3",Tareas!$B$6:$B$35,$A7))/(COUNTIFS(Tareas!$A$6:$A$35,"P1",Tareas!$B$6:$B$35,$A7,Tareas!$E$6:$E$35,"&lt;&gt;")+COUNTIFS(Tareas!$A$6:$A$35,"P2",Tareas!$B$6:$B$35,$A7,Tareas!$E$6:$E$35,"&lt;&gt;")+COUNTIFS(Tareas!$A$6:$A$35,"P3",Tareas!$B$6:$B$35,$A7,Tareas!$E$6:$E$35,"&lt;&gt;")),"")</f>
        <v/>
      </c>
      <c r="F7" s="23" t="str">
        <f aca="false">IFERROR((COUNTIFS(Tareas!$A$6:$A$35,"V1",Tareas!$B$6:$B$35,$A7,Tareas!$C$6:$C$35,"Éxito")+COUNTIFS(Tareas!$A$6:$A$35,"V2",Tareas!$B$6:$B$35,$A7,Tareas!$C$6:$C$35,"Éxito"))/(COUNTIFS(Tareas!$A$6:$A$35,"V1",Tareas!$B$6:$B$35,$A7,Tareas!$C$6:$C$35,"&lt;&gt;")+COUNTIFS(Tareas!$A$6:$A$35,"V2",Tareas!$B$6:$B$35,$A7,Tareas!$C$6:$C$35,"&lt;&gt;")),"")</f>
        <v/>
      </c>
      <c r="G7" s="24" t="str">
        <f aca="false">IFERROR((SUMIFS(Tareas!$D$6:$D$35,Tareas!$A$6:$A$35,"V1",Tareas!$B$6:$B$35,$A7)+SUMIFS(Tareas!$D$6:$D$35,Tareas!$A$6:$A$35,"V2",Tareas!$B$6:$B$35,$A7))/(COUNTIFS(Tareas!$A$6:$A$35,"V1",Tareas!$B$6:$B$35,$A7,Tareas!$D$6:$D$35,"&lt;&gt;")+COUNTIFS(Tareas!$A$6:$A$35,"V2",Tareas!$B$6:$B$35,$A7,Tareas!$D$6:$D$35,"&lt;&gt;")),"")</f>
        <v/>
      </c>
    </row>
    <row r="8" customFormat="false" ht="15" hidden="false" customHeight="true" outlineLevel="0" collapsed="false">
      <c r="A8" s="12" t="s">
        <v>63</v>
      </c>
      <c r="B8" s="15" t="n">
        <f aca="false">COUNTIFS(Tareas!$A$6:$A$35,"P1",Tareas!$B$6:$B$35,$A8,Tareas!$C$6:$C$35,"Éxito")+COUNTIFS(Tareas!$A$6:$A$35,"P2",Tareas!$B$6:$B$35,$A8,Tareas!$C$6:$C$35,"Éxito")+COUNTIFS(Tareas!$A$6:$A$35,"P3",Tareas!$B$6:$B$35,$A8,Tareas!$C$6:$C$35,"Éxito")</f>
        <v>0</v>
      </c>
      <c r="C8" s="23" t="str">
        <f aca="false">IFERROR(B8/(COUNTIFS(Tareas!$A$6:$A$35,"P1",Tareas!$B$6:$B$35,$A8,Tareas!$C$6:$C$35,"&lt;&gt;")+COUNTIFS(Tareas!$A$6:$A$35,"P2",Tareas!$B$6:$B$35,$A8,Tareas!$C$6:$C$35,"&lt;&gt;")+COUNTIFS(Tareas!$A$6:$A$35,"P3",Tareas!$B$6:$B$35,$A8,Tareas!$C$6:$C$35,"&lt;&gt;")),"")</f>
        <v/>
      </c>
      <c r="D8" s="24" t="str">
        <f aca="false">IFERROR((SUMIFS(Tareas!$D$6:$D$35,Tareas!$A$6:$A$35,"P1",Tareas!$B$6:$B$35,$A8)+SUMIFS(Tareas!$D$6:$D$35,Tareas!$A$6:$A$35,"P2",Tareas!$B$6:$B$35,$A8)+SUMIFS(Tareas!$D$6:$D$35,Tareas!$A$6:$A$35,"P3",Tareas!$B$6:$B$35,$A8))/(COUNTIFS(Tareas!$A$6:$A$35,"P1",Tareas!$B$6:$B$35,$A8,Tareas!$D$6:$D$35,"&lt;&gt;")+COUNTIFS(Tareas!$A$6:$A$35,"P2",Tareas!$B$6:$B$35,$A8,Tareas!$D$6:$D$35,"&lt;&gt;")+COUNTIFS(Tareas!$A$6:$A$35,"P3",Tareas!$B$6:$B$35,$A8,Tareas!$D$6:$D$35,"&lt;&gt;")),"")</f>
        <v/>
      </c>
      <c r="E8" s="24" t="str">
        <f aca="false">IFERROR((SUMIFS(Tareas!$E$6:$E$35,Tareas!$A$6:$A$35,"P1",Tareas!$B$6:$B$35,$A8)+SUMIFS(Tareas!$E$6:$E$35,Tareas!$A$6:$A$35,"P2",Tareas!$B$6:$B$35,$A8)+SUMIFS(Tareas!$E$6:$E$35,Tareas!$A$6:$A$35,"P3",Tareas!$B$6:$B$35,$A8))/(COUNTIFS(Tareas!$A$6:$A$35,"P1",Tareas!$B$6:$B$35,$A8,Tareas!$E$6:$E$35,"&lt;&gt;")+COUNTIFS(Tareas!$A$6:$A$35,"P2",Tareas!$B$6:$B$35,$A8,Tareas!$E$6:$E$35,"&lt;&gt;")+COUNTIFS(Tareas!$A$6:$A$35,"P3",Tareas!$B$6:$B$35,$A8,Tareas!$E$6:$E$35,"&lt;&gt;")),"")</f>
        <v/>
      </c>
      <c r="F8" s="23" t="str">
        <f aca="false">IFERROR((COUNTIFS(Tareas!$A$6:$A$35,"V1",Tareas!$B$6:$B$35,$A8,Tareas!$C$6:$C$35,"Éxito")+COUNTIFS(Tareas!$A$6:$A$35,"V2",Tareas!$B$6:$B$35,$A8,Tareas!$C$6:$C$35,"Éxito"))/(COUNTIFS(Tareas!$A$6:$A$35,"V1",Tareas!$B$6:$B$35,$A8,Tareas!$C$6:$C$35,"&lt;&gt;")+COUNTIFS(Tareas!$A$6:$A$35,"V2",Tareas!$B$6:$B$35,$A8,Tareas!$C$6:$C$35,"&lt;&gt;")),"")</f>
        <v/>
      </c>
      <c r="G8" s="24" t="str">
        <f aca="false">IFERROR((SUMIFS(Tareas!$D$6:$D$35,Tareas!$A$6:$A$35,"V1",Tareas!$B$6:$B$35,$A8)+SUMIFS(Tareas!$D$6:$D$35,Tareas!$A$6:$A$35,"V2",Tareas!$B$6:$B$35,$A8))/(COUNTIFS(Tareas!$A$6:$A$35,"V1",Tareas!$B$6:$B$35,$A8,Tareas!$D$6:$D$35,"&lt;&gt;")+COUNTIFS(Tareas!$A$6:$A$35,"V2",Tareas!$B$6:$B$35,$A8,Tareas!$D$6:$D$35,"&lt;&gt;")),"")</f>
        <v/>
      </c>
    </row>
    <row r="9" customFormat="false" ht="15" hidden="false" customHeight="true" outlineLevel="0" collapsed="false">
      <c r="A9" s="12" t="s">
        <v>64</v>
      </c>
      <c r="B9" s="15" t="n">
        <f aca="false">COUNTIFS(Tareas!$A$6:$A$35,"P1",Tareas!$B$6:$B$35,$A9,Tareas!$C$6:$C$35,"Éxito")+COUNTIFS(Tareas!$A$6:$A$35,"P2",Tareas!$B$6:$B$35,$A9,Tareas!$C$6:$C$35,"Éxito")+COUNTIFS(Tareas!$A$6:$A$35,"P3",Tareas!$B$6:$B$35,$A9,Tareas!$C$6:$C$35,"Éxito")</f>
        <v>0</v>
      </c>
      <c r="C9" s="23" t="str">
        <f aca="false">IFERROR(B9/(COUNTIFS(Tareas!$A$6:$A$35,"P1",Tareas!$B$6:$B$35,$A9,Tareas!$C$6:$C$35,"&lt;&gt;")+COUNTIFS(Tareas!$A$6:$A$35,"P2",Tareas!$B$6:$B$35,$A9,Tareas!$C$6:$C$35,"&lt;&gt;")+COUNTIFS(Tareas!$A$6:$A$35,"P3",Tareas!$B$6:$B$35,$A9,Tareas!$C$6:$C$35,"&lt;&gt;")),"")</f>
        <v/>
      </c>
      <c r="D9" s="24" t="str">
        <f aca="false">IFERROR((SUMIFS(Tareas!$D$6:$D$35,Tareas!$A$6:$A$35,"P1",Tareas!$B$6:$B$35,$A9)+SUMIFS(Tareas!$D$6:$D$35,Tareas!$A$6:$A$35,"P2",Tareas!$B$6:$B$35,$A9)+SUMIFS(Tareas!$D$6:$D$35,Tareas!$A$6:$A$35,"P3",Tareas!$B$6:$B$35,$A9))/(COUNTIFS(Tareas!$A$6:$A$35,"P1",Tareas!$B$6:$B$35,$A9,Tareas!$D$6:$D$35,"&lt;&gt;")+COUNTIFS(Tareas!$A$6:$A$35,"P2",Tareas!$B$6:$B$35,$A9,Tareas!$D$6:$D$35,"&lt;&gt;")+COUNTIFS(Tareas!$A$6:$A$35,"P3",Tareas!$B$6:$B$35,$A9,Tareas!$D$6:$D$35,"&lt;&gt;")),"")</f>
        <v/>
      </c>
      <c r="E9" s="24" t="str">
        <f aca="false">IFERROR((SUMIFS(Tareas!$E$6:$E$35,Tareas!$A$6:$A$35,"P1",Tareas!$B$6:$B$35,$A9)+SUMIFS(Tareas!$E$6:$E$35,Tareas!$A$6:$A$35,"P2",Tareas!$B$6:$B$35,$A9)+SUMIFS(Tareas!$E$6:$E$35,Tareas!$A$6:$A$35,"P3",Tareas!$B$6:$B$35,$A9))/(COUNTIFS(Tareas!$A$6:$A$35,"P1",Tareas!$B$6:$B$35,$A9,Tareas!$E$6:$E$35,"&lt;&gt;")+COUNTIFS(Tareas!$A$6:$A$35,"P2",Tareas!$B$6:$B$35,$A9,Tareas!$E$6:$E$35,"&lt;&gt;")+COUNTIFS(Tareas!$A$6:$A$35,"P3",Tareas!$B$6:$B$35,$A9,Tareas!$E$6:$E$35,"&lt;&gt;")),"")</f>
        <v/>
      </c>
      <c r="F9" s="23" t="str">
        <f aca="false">IFERROR((COUNTIFS(Tareas!$A$6:$A$35,"V1",Tareas!$B$6:$B$35,$A9,Tareas!$C$6:$C$35,"Éxito")+COUNTIFS(Tareas!$A$6:$A$35,"V2",Tareas!$B$6:$B$35,$A9,Tareas!$C$6:$C$35,"Éxito"))/(COUNTIFS(Tareas!$A$6:$A$35,"V1",Tareas!$B$6:$B$35,$A9,Tareas!$C$6:$C$35,"&lt;&gt;")+COUNTIFS(Tareas!$A$6:$A$35,"V2",Tareas!$B$6:$B$35,$A9,Tareas!$C$6:$C$35,"&lt;&gt;")),"")</f>
        <v/>
      </c>
      <c r="G9" s="24" t="str">
        <f aca="false">IFERROR((SUMIFS(Tareas!$D$6:$D$35,Tareas!$A$6:$A$35,"V1",Tareas!$B$6:$B$35,$A9)+SUMIFS(Tareas!$D$6:$D$35,Tareas!$A$6:$A$35,"V2",Tareas!$B$6:$B$35,$A9))/(COUNTIFS(Tareas!$A$6:$A$35,"V1",Tareas!$B$6:$B$35,$A9,Tareas!$D$6:$D$35,"&lt;&gt;")+COUNTIFS(Tareas!$A$6:$A$35,"V2",Tareas!$B$6:$B$35,$A9,Tareas!$D$6:$D$35,"&lt;&gt;")),"")</f>
        <v/>
      </c>
    </row>
    <row r="10" customFormat="false" ht="15" hidden="false" customHeight="true" outlineLevel="0" collapsed="false">
      <c r="A10" s="12" t="s">
        <v>65</v>
      </c>
      <c r="B10" s="15" t="n">
        <f aca="false">COUNTIFS(Tareas!$A$6:$A$35,"P1",Tareas!$B$6:$B$35,$A10,Tareas!$C$6:$C$35,"Éxito")+COUNTIFS(Tareas!$A$6:$A$35,"P2",Tareas!$B$6:$B$35,$A10,Tareas!$C$6:$C$35,"Éxito")+COUNTIFS(Tareas!$A$6:$A$35,"P3",Tareas!$B$6:$B$35,$A10,Tareas!$C$6:$C$35,"Éxito")</f>
        <v>0</v>
      </c>
      <c r="C10" s="23" t="str">
        <f aca="false">IFERROR(B10/(COUNTIFS(Tareas!$A$6:$A$35,"P1",Tareas!$B$6:$B$35,$A10,Tareas!$C$6:$C$35,"&lt;&gt;")+COUNTIFS(Tareas!$A$6:$A$35,"P2",Tareas!$B$6:$B$35,$A10,Tareas!$C$6:$C$35,"&lt;&gt;")+COUNTIFS(Tareas!$A$6:$A$35,"P3",Tareas!$B$6:$B$35,$A10,Tareas!$C$6:$C$35,"&lt;&gt;")),"")</f>
        <v/>
      </c>
      <c r="D10" s="24" t="str">
        <f aca="false">IFERROR((SUMIFS(Tareas!$D$6:$D$35,Tareas!$A$6:$A$35,"P1",Tareas!$B$6:$B$35,$A10)+SUMIFS(Tareas!$D$6:$D$35,Tareas!$A$6:$A$35,"P2",Tareas!$B$6:$B$35,$A10)+SUMIFS(Tareas!$D$6:$D$35,Tareas!$A$6:$A$35,"P3",Tareas!$B$6:$B$35,$A10))/(COUNTIFS(Tareas!$A$6:$A$35,"P1",Tareas!$B$6:$B$35,$A10,Tareas!$D$6:$D$35,"&lt;&gt;")+COUNTIFS(Tareas!$A$6:$A$35,"P2",Tareas!$B$6:$B$35,$A10,Tareas!$D$6:$D$35,"&lt;&gt;")+COUNTIFS(Tareas!$A$6:$A$35,"P3",Tareas!$B$6:$B$35,$A10,Tareas!$D$6:$D$35,"&lt;&gt;")),"")</f>
        <v/>
      </c>
      <c r="E10" s="24" t="str">
        <f aca="false">IFERROR((SUMIFS(Tareas!$E$6:$E$35,Tareas!$A$6:$A$35,"P1",Tareas!$B$6:$B$35,$A10)+SUMIFS(Tareas!$E$6:$E$35,Tareas!$A$6:$A$35,"P2",Tareas!$B$6:$B$35,$A10)+SUMIFS(Tareas!$E$6:$E$35,Tareas!$A$6:$A$35,"P3",Tareas!$B$6:$B$35,$A10))/(COUNTIFS(Tareas!$A$6:$A$35,"P1",Tareas!$B$6:$B$35,$A10,Tareas!$E$6:$E$35,"&lt;&gt;")+COUNTIFS(Tareas!$A$6:$A$35,"P2",Tareas!$B$6:$B$35,$A10,Tareas!$E$6:$E$35,"&lt;&gt;")+COUNTIFS(Tareas!$A$6:$A$35,"P3",Tareas!$B$6:$B$35,$A10,Tareas!$E$6:$E$35,"&lt;&gt;")),"")</f>
        <v/>
      </c>
      <c r="F10" s="23" t="str">
        <f aca="false">IFERROR((COUNTIFS(Tareas!$A$6:$A$35,"V1",Tareas!$B$6:$B$35,$A10,Tareas!$C$6:$C$35,"Éxito")+COUNTIFS(Tareas!$A$6:$A$35,"V2",Tareas!$B$6:$B$35,$A10,Tareas!$C$6:$C$35,"Éxito"))/(COUNTIFS(Tareas!$A$6:$A$35,"V1",Tareas!$B$6:$B$35,$A10,Tareas!$C$6:$C$35,"&lt;&gt;")+COUNTIFS(Tareas!$A$6:$A$35,"V2",Tareas!$B$6:$B$35,$A10,Tareas!$C$6:$C$35,"&lt;&gt;")),"")</f>
        <v/>
      </c>
      <c r="G10" s="24" t="str">
        <f aca="false">IFERROR((SUMIFS(Tareas!$D$6:$D$35,Tareas!$A$6:$A$35,"V1",Tareas!$B$6:$B$35,$A10)+SUMIFS(Tareas!$D$6:$D$35,Tareas!$A$6:$A$35,"V2",Tareas!$B$6:$B$35,$A10))/(COUNTIFS(Tareas!$A$6:$A$35,"V1",Tareas!$B$6:$B$35,$A10,Tareas!$D$6:$D$35,"&lt;&gt;")+COUNTIFS(Tareas!$A$6:$A$35,"V2",Tareas!$B$6:$B$35,$A10,Tareas!$D$6:$D$35,"&lt;&gt;")),"")</f>
        <v/>
      </c>
    </row>
    <row r="12" customFormat="false" ht="15" hidden="false" customHeight="true" outlineLevel="0" collapsed="false">
      <c r="A12" s="16" t="s">
        <v>74</v>
      </c>
      <c r="C12" s="25" t="str">
        <f aca="false">SUS!N12</f>
        <v/>
      </c>
    </row>
    <row r="13" customFormat="false" ht="15" hidden="false" customHeight="true" outlineLevel="0" collapsed="false">
      <c r="A13" s="16" t="s">
        <v>75</v>
      </c>
      <c r="C13" s="25" t="str">
        <f aca="false">SUS!N13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2026-09-30T13:14:54Z</dcterms:created>
  <dc:creator>openpyxl</dc:creator>
  <dc:description/>
  <dc:language>en-US</dc:language>
  <cp:lastModifiedBy/>
  <dcterms:modified xsi:type="dcterms:W3CDTF">2026-09-30T14:13:04Z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